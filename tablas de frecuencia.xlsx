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08359E0-8331-48AD-AE90-9AC0C28FDEA5}" xr6:coauthVersionLast="47" xr6:coauthVersionMax="47" xr10:uidLastSave="{00000000-0000-0000-0000-000000000000}"/>
  <bookViews>
    <workbookView xWindow="-110" yWindow="-110" windowWidth="19420" windowHeight="11020" xr2:uid="{BB189862-DA16-4EBE-92A2-FA0D1B8DBC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  <c r="E16" i="1"/>
  <c r="E15" i="1"/>
  <c r="E14" i="1"/>
  <c r="D17" i="1"/>
  <c r="D16" i="1"/>
  <c r="D15" i="1"/>
  <c r="D14" i="1"/>
  <c r="C17" i="1"/>
  <c r="C16" i="1"/>
  <c r="C15" i="1"/>
  <c r="D4" i="1"/>
  <c r="C5" i="1"/>
  <c r="D5" i="1" s="1"/>
  <c r="C4" i="1"/>
  <c r="C3" i="1"/>
  <c r="D3" i="1" s="1"/>
</calcChain>
</file>

<file path=xl/sharedStrings.xml><?xml version="1.0" encoding="utf-8"?>
<sst xmlns="http://schemas.openxmlformats.org/spreadsheetml/2006/main" count="16" uniqueCount="13">
  <si>
    <t xml:space="preserve">Tabla de frecuencia </t>
  </si>
  <si>
    <t>Tipo de gama</t>
  </si>
  <si>
    <t>fi</t>
  </si>
  <si>
    <t>Fi</t>
  </si>
  <si>
    <t>fr</t>
  </si>
  <si>
    <t>f%</t>
  </si>
  <si>
    <t>gama baja</t>
  </si>
  <si>
    <t xml:space="preserve">gama media </t>
  </si>
  <si>
    <t>gama alta</t>
  </si>
  <si>
    <t xml:space="preserve">total </t>
  </si>
  <si>
    <t>Tabla de frecuencia</t>
  </si>
  <si>
    <t>Edad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</si>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</sst>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Hoja1!$A$3</c:f>
              <c:strCache>
                <c:ptCount val="1"/>
                <c:pt idx="0">
                  <c:v>gama baja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317500" algn="ctr" rotWithShape="0">
                <a:prstClr val="black">
                  <a:alpha val="25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Hoja1!$B$1:$D$2</c:f>
              <c:strCache>
                <c:ptCount val="3"/>
                <c:pt idx="0">
                  <c:v>fi</c:v>
                </c:pt>
                <c:pt idx="1">
                  <c:v>fr</c:v>
                </c:pt>
                <c:pt idx="2">
                  <c:v>f%</c:v>
                </c:pt>
              </c:strCache>
            </c:strRef>
          </c:cat>
          <c:val>
            <c:numRef>
              <c:f>Hoja1!$B$3:$D$3</c:f>
              <c:numCache>
                <c:formatCode>0.00</c:formatCode>
                <c:ptCount val="3"/>
                <c:pt idx="0" formatCode="General">
                  <c:v>7</c:v>
                </c:pt>
                <c:pt idx="1">
                  <c:v>0.33333333333333331</c:v>
                </c:pt>
                <c:pt idx="2" formatCode="General">
                  <c:v>33.33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B9-4F80-8454-E4913BB9657A}"/>
            </c:ext>
          </c:extLst>
        </c:ser>
        <c:ser>
          <c:idx val="1"/>
          <c:order val="1"/>
          <c:tx>
            <c:strRef>
              <c:f>Hoja1!$A$4</c:f>
              <c:strCache>
                <c:ptCount val="1"/>
                <c:pt idx="0">
                  <c:v>gama media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>
              <a:outerShdw blurRad="317500" algn="ctr" rotWithShape="0">
                <a:prstClr val="black">
                  <a:alpha val="25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Hoja1!$B$1:$D$2</c:f>
              <c:strCache>
                <c:ptCount val="3"/>
                <c:pt idx="0">
                  <c:v>fi</c:v>
                </c:pt>
                <c:pt idx="1">
                  <c:v>fr</c:v>
                </c:pt>
                <c:pt idx="2">
                  <c:v>f%</c:v>
                </c:pt>
              </c:strCache>
            </c:strRef>
          </c:cat>
          <c:val>
            <c:numRef>
              <c:f>Hoja1!$B$4:$D$4</c:f>
              <c:numCache>
                <c:formatCode>0.00</c:formatCode>
                <c:ptCount val="3"/>
                <c:pt idx="0" formatCode="General">
                  <c:v>11</c:v>
                </c:pt>
                <c:pt idx="1">
                  <c:v>0.52380952380952384</c:v>
                </c:pt>
                <c:pt idx="2" formatCode="General">
                  <c:v>52.38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B9-4F80-8454-E4913BB9657A}"/>
            </c:ext>
          </c:extLst>
        </c:ser>
        <c:ser>
          <c:idx val="2"/>
          <c:order val="2"/>
          <c:tx>
            <c:strRef>
              <c:f>Hoja1!$A$5</c:f>
              <c:strCache>
                <c:ptCount val="1"/>
                <c:pt idx="0">
                  <c:v>gama alta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>
              <a:outerShdw blurRad="317500" algn="ctr" rotWithShape="0">
                <a:prstClr val="black">
                  <a:alpha val="25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Hoja1!$B$1:$D$2</c:f>
              <c:strCache>
                <c:ptCount val="3"/>
                <c:pt idx="0">
                  <c:v>fi</c:v>
                </c:pt>
                <c:pt idx="1">
                  <c:v>fr</c:v>
                </c:pt>
                <c:pt idx="2">
                  <c:v>f%</c:v>
                </c:pt>
              </c:strCache>
            </c:strRef>
          </c:cat>
          <c:val>
            <c:numRef>
              <c:f>Hoja1!$B$5:$D$5</c:f>
              <c:numCache>
                <c:formatCode>0.00</c:formatCode>
                <c:ptCount val="3"/>
                <c:pt idx="0" formatCode="General">
                  <c:v>3</c:v>
                </c:pt>
                <c:pt idx="1">
                  <c:v>0.14285714285714285</c:v>
                </c:pt>
                <c:pt idx="2" formatCode="General">
                  <c:v>14.29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B9-4F80-8454-E4913BB96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97842319"/>
        <c:axId val="1797846639"/>
      </c:barChart>
      <c:valAx>
        <c:axId val="1797846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97842319"/>
        <c:crossBetween val="between"/>
      </c:valAx>
      <c:catAx>
        <c:axId val="179784231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97846639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Hoja1!$B$12:$B$13</c:f>
              <c:strCache>
                <c:ptCount val="2"/>
                <c:pt idx="0">
                  <c:v>Tabla de frecuencia</c:v>
                </c:pt>
                <c:pt idx="1">
                  <c:v>fi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Hoja1!$A$14:$A$17</c:f>
              <c:numCache>
                <c:formatCode>General</c:formatCode>
                <c:ptCount val="4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23</c:v>
                </c:pt>
              </c:numCache>
            </c:numRef>
          </c:cat>
          <c:val>
            <c:numRef>
              <c:f>Hoja1!$B$14:$B$17</c:f>
              <c:numCache>
                <c:formatCode>General</c:formatCode>
                <c:ptCount val="4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82-4E6C-9297-0FC7DFD6E24E}"/>
            </c:ext>
          </c:extLst>
        </c:ser>
        <c:ser>
          <c:idx val="1"/>
          <c:order val="1"/>
          <c:tx>
            <c:strRef>
              <c:f>Hoja1!$C$12:$C$13</c:f>
              <c:strCache>
                <c:ptCount val="2"/>
                <c:pt idx="0">
                  <c:v>Tabla de frecuencia</c:v>
                </c:pt>
                <c:pt idx="1">
                  <c:v>Fi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Hoja1!$A$14:$A$17</c:f>
              <c:numCache>
                <c:formatCode>General</c:formatCode>
                <c:ptCount val="4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23</c:v>
                </c:pt>
              </c:numCache>
            </c:numRef>
          </c:cat>
          <c:val>
            <c:numRef>
              <c:f>Hoja1!$C$14:$C$17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82-4E6C-9297-0FC7DFD6E24E}"/>
            </c:ext>
          </c:extLst>
        </c:ser>
        <c:ser>
          <c:idx val="2"/>
          <c:order val="2"/>
          <c:tx>
            <c:strRef>
              <c:f>Hoja1!$D$12:$D$13</c:f>
              <c:strCache>
                <c:ptCount val="2"/>
                <c:pt idx="0">
                  <c:v>Tabla de frecuencia</c:v>
                </c:pt>
                <c:pt idx="1">
                  <c:v>fr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Hoja1!$A$14:$A$17</c:f>
              <c:numCache>
                <c:formatCode>General</c:formatCode>
                <c:ptCount val="4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23</c:v>
                </c:pt>
              </c:numCache>
            </c:numRef>
          </c:cat>
          <c:val>
            <c:numRef>
              <c:f>Hoja1!$D$14:$D$17</c:f>
              <c:numCache>
                <c:formatCode>0.00</c:formatCode>
                <c:ptCount val="4"/>
                <c:pt idx="0">
                  <c:v>0.27777777777777779</c:v>
                </c:pt>
                <c:pt idx="1">
                  <c:v>0.27777777777777779</c:v>
                </c:pt>
                <c:pt idx="2">
                  <c:v>0.27777777777777779</c:v>
                </c:pt>
                <c:pt idx="3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82-4E6C-9297-0FC7DFD6E24E}"/>
            </c:ext>
          </c:extLst>
        </c:ser>
        <c:ser>
          <c:idx val="3"/>
          <c:order val="3"/>
          <c:tx>
            <c:strRef>
              <c:f>Hoja1!$E$12:$E$13</c:f>
              <c:strCache>
                <c:ptCount val="2"/>
                <c:pt idx="0">
                  <c:v>Tabla de frecuencia</c:v>
                </c:pt>
                <c:pt idx="1">
                  <c:v>f%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Hoja1!$A$14:$A$17</c:f>
              <c:numCache>
                <c:formatCode>General</c:formatCode>
                <c:ptCount val="4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23</c:v>
                </c:pt>
              </c:numCache>
            </c:numRef>
          </c:cat>
          <c:val>
            <c:numRef>
              <c:f>Hoja1!$E$14:$E$17</c:f>
              <c:numCache>
                <c:formatCode>General</c:formatCode>
                <c:ptCount val="4"/>
                <c:pt idx="0">
                  <c:v>27.78</c:v>
                </c:pt>
                <c:pt idx="1">
                  <c:v>27.78</c:v>
                </c:pt>
                <c:pt idx="2">
                  <c:v>27.78</c:v>
                </c:pt>
                <c:pt idx="3">
                  <c:v>16.670000000000002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82-4E6C-9297-0FC7DFD6E24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797836079"/>
        <c:axId val="1797835119"/>
      </c:barChart>
      <c:catAx>
        <c:axId val="179783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97835119"/>
        <c:crosses val="autoZero"/>
        <c:auto val="1"/>
        <c:lblAlgn val="ctr"/>
        <c:lblOffset val="100"/>
        <c:noMultiLvlLbl val="0"/>
      </c:catAx>
      <c:valAx>
        <c:axId val="1797835119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797836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136525</xdr:colOff>
      <xdr:row>0</xdr:row>
      <xdr:rowOff>31750</xdr:rowOff>
    </xdr:from>
    <xdr:to>
      <xdr:col>8</xdr:col>
      <xdr:colOff>552450</xdr:colOff>
      <xdr:row>10</xdr:row>
      <xdr:rowOff>6350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A5CDEF1-171B-26C1-70A9-280948460C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85725</xdr:colOff>
      <xdr:row>11</xdr:row>
      <xdr:rowOff>15875</xdr:rowOff>
    </xdr:from>
    <xdr:to>
      <xdr:col>9</xdr:col>
      <xdr:colOff>571500</xdr:colOff>
      <xdr:row>19</xdr:row>
      <xdr:rowOff>165100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85ECC6E-2962-9D68-3AF2-68066FDA2F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FD038-A6FC-4F86-A6C3-B51BBB857A38}">
  <dimension ref="A1:E18"/>
  <sheetViews>
    <sheetView tabSelected="1" workbookViewId="0">
      <selection activeCell="K9" sqref="K9"/>
    </sheetView>
  </sheetViews>
  <sheetFormatPr baseColWidth="10" defaultRowHeight="14.5" x14ac:dyDescent="0.35"/>
  <cols>
    <col min="1" max="1" width="11.90625" customWidth="1"/>
    <col min="2" max="2" width="8.81640625" customWidth="1"/>
    <col min="3" max="3" width="8.6328125" customWidth="1"/>
    <col min="4" max="5" width="8.81640625" customWidth="1"/>
  </cols>
  <sheetData>
    <row r="1" spans="1:5" x14ac:dyDescent="0.35">
      <c r="A1" s="1" t="s">
        <v>0</v>
      </c>
      <c r="B1" s="1"/>
      <c r="C1" s="1"/>
      <c r="D1" s="1"/>
    </row>
    <row r="2" spans="1:5" x14ac:dyDescent="0.35">
      <c r="A2" t="s">
        <v>1</v>
      </c>
      <c r="B2" s="2" t="s">
        <v>2</v>
      </c>
      <c r="C2" s="2" t="s">
        <v>4</v>
      </c>
      <c r="D2" s="2" t="s">
        <v>5</v>
      </c>
    </row>
    <row r="3" spans="1:5" x14ac:dyDescent="0.35">
      <c r="A3" t="s">
        <v>6</v>
      </c>
      <c r="B3" s="2">
        <v>7</v>
      </c>
      <c r="C3" s="4">
        <f xml:space="preserve"> B3/B6</f>
        <v>0.33333333333333331</v>
      </c>
      <c r="D3">
        <f>ROUND(C3*100,2)</f>
        <v>33.33</v>
      </c>
    </row>
    <row r="4" spans="1:5" x14ac:dyDescent="0.35">
      <c r="A4" t="s">
        <v>7</v>
      </c>
      <c r="B4" s="2">
        <v>11</v>
      </c>
      <c r="C4" s="4">
        <f>B4/B6</f>
        <v>0.52380952380952384</v>
      </c>
      <c r="D4">
        <f>ROUND(C4*100,2)</f>
        <v>52.38</v>
      </c>
    </row>
    <row r="5" spans="1:5" x14ac:dyDescent="0.35">
      <c r="A5" t="s">
        <v>8</v>
      </c>
      <c r="B5" s="2">
        <v>3</v>
      </c>
      <c r="C5" s="4">
        <f>B5/B6</f>
        <v>0.14285714285714285</v>
      </c>
      <c r="D5">
        <f>ROUND(C5*100,2)</f>
        <v>14.29</v>
      </c>
    </row>
    <row r="6" spans="1:5" x14ac:dyDescent="0.35">
      <c r="A6" t="s">
        <v>9</v>
      </c>
      <c r="B6" s="2">
        <v>21</v>
      </c>
    </row>
    <row r="12" spans="1:5" x14ac:dyDescent="0.35">
      <c r="A12" s="1" t="s">
        <v>10</v>
      </c>
      <c r="B12" s="1"/>
      <c r="C12" s="1"/>
      <c r="D12" s="1"/>
      <c r="E12" s="1"/>
    </row>
    <row r="13" spans="1:5" x14ac:dyDescent="0.35">
      <c r="A13" s="2" t="s">
        <v>11</v>
      </c>
      <c r="B13" s="2" t="s">
        <v>2</v>
      </c>
      <c r="C13" s="2" t="s">
        <v>3</v>
      </c>
      <c r="D13" s="2" t="s">
        <v>4</v>
      </c>
      <c r="E13" s="2" t="s">
        <v>5</v>
      </c>
    </row>
    <row r="14" spans="1:5" x14ac:dyDescent="0.35">
      <c r="A14" s="2">
        <v>18</v>
      </c>
      <c r="B14">
        <v>5</v>
      </c>
      <c r="C14">
        <v>5</v>
      </c>
      <c r="D14" s="3">
        <f>B14/B18</f>
        <v>0.27777777777777779</v>
      </c>
      <c r="E14">
        <f>ROUND(D14*100,2)</f>
        <v>27.78</v>
      </c>
    </row>
    <row r="15" spans="1:5" x14ac:dyDescent="0.35">
      <c r="A15" s="2">
        <v>19</v>
      </c>
      <c r="B15">
        <v>5</v>
      </c>
      <c r="C15">
        <f>B15+C14</f>
        <v>10</v>
      </c>
      <c r="D15" s="3">
        <f>B15/B18</f>
        <v>0.27777777777777779</v>
      </c>
      <c r="E15">
        <f>ROUND(D15*100,2)</f>
        <v>27.78</v>
      </c>
    </row>
    <row r="16" spans="1:5" x14ac:dyDescent="0.35">
      <c r="A16" s="2">
        <v>20</v>
      </c>
      <c r="B16">
        <v>5</v>
      </c>
      <c r="C16">
        <f>B16+C15</f>
        <v>15</v>
      </c>
      <c r="D16" s="3">
        <f>B16/B18</f>
        <v>0.27777777777777779</v>
      </c>
      <c r="E16">
        <f>ROUND(D16*100,2)</f>
        <v>27.78</v>
      </c>
    </row>
    <row r="17" spans="1:5" x14ac:dyDescent="0.35">
      <c r="A17" s="2">
        <v>23</v>
      </c>
      <c r="B17">
        <v>3</v>
      </c>
      <c r="C17">
        <f>B17+C16</f>
        <v>18</v>
      </c>
      <c r="D17" s="3">
        <f>B17/B18</f>
        <v>0.16666666666666666</v>
      </c>
      <c r="E17">
        <f>ROUND(D17*100,2)</f>
        <v>16.670000000000002</v>
      </c>
    </row>
    <row r="18" spans="1:5" x14ac:dyDescent="0.35">
      <c r="A18" t="s">
        <v>12</v>
      </c>
      <c r="B18">
        <v>18</v>
      </c>
    </row>
  </sheetData>
  <mergeCells count="2">
    <mergeCell ref="A1:D1"/>
    <mergeCell ref="A12:E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SALINAS</dc:creator>
  <cp:lastModifiedBy>JAVIER SALINAS</cp:lastModifiedBy>
  <dcterms:created xsi:type="dcterms:W3CDTF">2026-03-23T03:28:51Z</dcterms:created>
  <dcterms:modified xsi:type="dcterms:W3CDTF">2026-03-24T01:19:32Z</dcterms:modified>
</cp:coreProperties>
</file>
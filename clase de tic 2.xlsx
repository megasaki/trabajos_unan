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835B751-F6DD-4F42-837C-0C0F891A2B9B}" xr6:coauthVersionLast="47" xr6:coauthVersionMax="47" xr10:uidLastSave="{00000000-0000-0000-0000-000000000000}"/>
  <bookViews>
    <workbookView xWindow="-110" yWindow="-110" windowWidth="19420" windowHeight="10300" xr2:uid="{B98D1D32-797D-4E79-9179-A3232BCCAB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25" i="1"/>
  <c r="H25" i="1"/>
  <c r="G25" i="1"/>
  <c r="F25" i="1"/>
  <c r="E25" i="1"/>
  <c r="D25" i="1"/>
  <c r="C25" i="1"/>
  <c r="B25" i="1"/>
  <c r="E22" i="1"/>
  <c r="D22" i="1"/>
  <c r="F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<sst xmlns="http://schemas.openxmlformats.org/spreadsheetml/2006/main" count="60" uniqueCount="47">
  <si>
    <t>producto</t>
  </si>
  <si>
    <t xml:space="preserve">categoria </t>
  </si>
  <si>
    <t xml:space="preserve">unidades vendidas </t>
  </si>
  <si>
    <t>precio unitario ($)</t>
  </si>
  <si>
    <t>costo unitario ($)</t>
  </si>
  <si>
    <t xml:space="preserve">café colombiano </t>
  </si>
  <si>
    <t xml:space="preserve">te chai </t>
  </si>
  <si>
    <t xml:space="preserve">Bebidas </t>
  </si>
  <si>
    <t xml:space="preserve">Galleta de avenas </t>
  </si>
  <si>
    <t xml:space="preserve">Alimentos </t>
  </si>
  <si>
    <t>Chocolate Zuiso</t>
  </si>
  <si>
    <t xml:space="preserve">Dulces </t>
  </si>
  <si>
    <t xml:space="preserve">Mermelada de fresa </t>
  </si>
  <si>
    <t xml:space="preserve">Cereal de Maiz </t>
  </si>
  <si>
    <t>Queso de Mechego</t>
  </si>
  <si>
    <t xml:space="preserve">Lacteos </t>
  </si>
  <si>
    <t xml:space="preserve">Vino tinto </t>
  </si>
  <si>
    <t xml:space="preserve">Aceite de Oliva </t>
  </si>
  <si>
    <t xml:space="preserve">Pan integral </t>
  </si>
  <si>
    <t xml:space="preserve">Panaderia </t>
  </si>
  <si>
    <t xml:space="preserve">Mantequilla </t>
  </si>
  <si>
    <t>Yogur Griego</t>
  </si>
  <si>
    <t>Carne de Res</t>
  </si>
  <si>
    <t xml:space="preserve">Carne </t>
  </si>
  <si>
    <t>Pechuga de Pollo</t>
  </si>
  <si>
    <t xml:space="preserve">Esparragos </t>
  </si>
  <si>
    <t xml:space="preserve">Vegetales </t>
  </si>
  <si>
    <t xml:space="preserve">Tomates </t>
  </si>
  <si>
    <t xml:space="preserve">Pimientos Rojos </t>
  </si>
  <si>
    <t xml:space="preserve">Limones </t>
  </si>
  <si>
    <t xml:space="preserve">Frutas </t>
  </si>
  <si>
    <t xml:space="preserve">Manzanas Rojas </t>
  </si>
  <si>
    <t xml:space="preserve">Narajas </t>
  </si>
  <si>
    <t xml:space="preserve">Total de ventas($) </t>
  </si>
  <si>
    <t>Total de costo($)</t>
  </si>
  <si>
    <t xml:space="preserve">Ganancia($) </t>
  </si>
  <si>
    <t>COMENTARIO</t>
  </si>
  <si>
    <t>Cantidad :</t>
  </si>
  <si>
    <t>Producto:</t>
  </si>
  <si>
    <t>Bebidas</t>
  </si>
  <si>
    <t>Alimentos</t>
  </si>
  <si>
    <t>Lacteos</t>
  </si>
  <si>
    <t>dulces</t>
  </si>
  <si>
    <t>Panaderia</t>
  </si>
  <si>
    <t>Carne</t>
  </si>
  <si>
    <t>Vegetales</t>
  </si>
  <si>
    <t>Producto mayuscula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</si>
</sst>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013C-BCFD-4F0A-ADC9-0BEE66044B17}">
  <dimension ref="A1:K25"/>
  <sheetViews>
    <sheetView tabSelected="1" workbookViewId="0">
      <selection activeCell="J18" sqref="J18"/>
    </sheetView>
  </sheetViews>
  <sheetFormatPr baseColWidth="10" defaultRowHeight="14.5" x14ac:dyDescent="0.35"/>
  <cols>
    <col min="1" max="1" width="16.81640625" customWidth="1"/>
    <col min="2" max="2" width="9.6328125" customWidth="1"/>
    <col min="3" max="5" width="10.90625" style="6"/>
    <col min="9" max="9" width="12.36328125" customWidth="1"/>
  </cols>
  <sheetData>
    <row r="1" spans="1:11" ht="29" x14ac:dyDescent="0.35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33</v>
      </c>
      <c r="G1" s="5" t="s">
        <v>34</v>
      </c>
      <c r="H1" s="5" t="s">
        <v>35</v>
      </c>
      <c r="I1" s="5" t="s">
        <v>36</v>
      </c>
      <c r="K1" s="5" t="s">
        <v>46</v>
      </c>
    </row>
    <row r="2" spans="1:11" x14ac:dyDescent="0.35">
      <c r="A2" s="1" t="s">
        <v>5</v>
      </c>
      <c r="B2" s="2" t="s">
        <v>7</v>
      </c>
      <c r="C2" s="6">
        <v>150</v>
      </c>
      <c r="D2" s="6">
        <v>18</v>
      </c>
      <c r="E2" s="6">
        <v>10</v>
      </c>
      <c r="F2">
        <f>C2*D2</f>
        <v>2700</v>
      </c>
      <c r="G2">
        <f>C2*E2</f>
        <v>1500</v>
      </c>
      <c r="H2">
        <f>F2-G2</f>
        <v>1200</v>
      </c>
      <c r="I2" t="str">
        <f>IF(H2&gt;=1000,"EXCELENTE","INSUFICIENTE")</f>
        <v>EXCELENTE</v>
      </c>
      <c r="K2" t="str">
        <f>UPPER(B2)</f>
        <v xml:space="preserve">BEBIDAS </v>
      </c>
    </row>
    <row r="3" spans="1:11" x14ac:dyDescent="0.35">
      <c r="A3" t="s">
        <v>6</v>
      </c>
      <c r="B3" t="s">
        <v>7</v>
      </c>
      <c r="C3" s="6">
        <v>200</v>
      </c>
      <c r="D3" s="6">
        <v>15</v>
      </c>
      <c r="E3" s="6">
        <v>8</v>
      </c>
      <c r="F3">
        <f t="shared" ref="F3:F21" si="0">C3*D3</f>
        <v>3000</v>
      </c>
      <c r="G3">
        <f t="shared" ref="G3:G21" si="1">C3*E3</f>
        <v>1600</v>
      </c>
      <c r="H3">
        <f t="shared" ref="H3:H21" si="2">F3-G3</f>
        <v>1400</v>
      </c>
      <c r="I3" t="str">
        <f t="shared" ref="I3:I21" si="3">IF(H3&gt;=1000,"EXCELENTE","INSUFICIENTE")</f>
        <v>EXCELENTE</v>
      </c>
      <c r="K3" t="str">
        <f t="shared" ref="K3:K21" si="4">UPPER(B3)</f>
        <v xml:space="preserve">BEBIDAS </v>
      </c>
    </row>
    <row r="4" spans="1:11" ht="29" x14ac:dyDescent="0.35">
      <c r="A4" s="1" t="s">
        <v>8</v>
      </c>
      <c r="B4" t="s">
        <v>9</v>
      </c>
      <c r="C4" s="6">
        <v>180</v>
      </c>
      <c r="D4" s="6">
        <v>12</v>
      </c>
      <c r="E4" s="6">
        <v>6</v>
      </c>
      <c r="F4">
        <f t="shared" si="0"/>
        <v>2160</v>
      </c>
      <c r="G4">
        <f t="shared" si="1"/>
        <v>1080</v>
      </c>
      <c r="H4">
        <f t="shared" si="2"/>
        <v>1080</v>
      </c>
      <c r="I4" t="str">
        <f t="shared" si="3"/>
        <v>EXCELENTE</v>
      </c>
      <c r="K4" t="str">
        <f t="shared" si="4"/>
        <v xml:space="preserve">ALIMENTOS </v>
      </c>
    </row>
    <row r="5" spans="1:11" ht="29" x14ac:dyDescent="0.35">
      <c r="A5" s="1" t="s">
        <v>10</v>
      </c>
      <c r="B5" t="s">
        <v>11</v>
      </c>
      <c r="C5" s="6">
        <v>120</v>
      </c>
      <c r="D5" s="6">
        <v>22</v>
      </c>
      <c r="E5" s="6">
        <v>14</v>
      </c>
      <c r="F5">
        <f t="shared" si="0"/>
        <v>2640</v>
      </c>
      <c r="G5">
        <f t="shared" si="1"/>
        <v>1680</v>
      </c>
      <c r="H5">
        <f t="shared" si="2"/>
        <v>960</v>
      </c>
      <c r="I5" t="str">
        <f t="shared" si="3"/>
        <v>INSUFICIENTE</v>
      </c>
      <c r="K5" t="str">
        <f t="shared" si="4"/>
        <v xml:space="preserve">DULCES </v>
      </c>
    </row>
    <row r="6" spans="1:11" ht="29" x14ac:dyDescent="0.35">
      <c r="A6" s="1" t="s">
        <v>12</v>
      </c>
      <c r="B6" t="s">
        <v>9</v>
      </c>
      <c r="C6" s="6">
        <v>130</v>
      </c>
      <c r="D6" s="6">
        <v>9</v>
      </c>
      <c r="E6" s="6">
        <v>5</v>
      </c>
      <c r="F6">
        <f t="shared" si="0"/>
        <v>1170</v>
      </c>
      <c r="G6">
        <f t="shared" si="1"/>
        <v>650</v>
      </c>
      <c r="H6">
        <f t="shared" si="2"/>
        <v>520</v>
      </c>
      <c r="I6" t="str">
        <f t="shared" si="3"/>
        <v>INSUFICIENTE</v>
      </c>
      <c r="K6" t="str">
        <f t="shared" si="4"/>
        <v xml:space="preserve">ALIMENTOS </v>
      </c>
    </row>
    <row r="7" spans="1:11" ht="29" x14ac:dyDescent="0.35">
      <c r="A7" s="1" t="s">
        <v>13</v>
      </c>
      <c r="B7" t="s">
        <v>9</v>
      </c>
      <c r="C7" s="6">
        <v>190</v>
      </c>
      <c r="D7" s="6">
        <v>11</v>
      </c>
      <c r="E7" s="6">
        <v>7</v>
      </c>
      <c r="F7">
        <f t="shared" si="0"/>
        <v>2090</v>
      </c>
      <c r="G7">
        <f t="shared" si="1"/>
        <v>1330</v>
      </c>
      <c r="H7">
        <f t="shared" si="2"/>
        <v>760</v>
      </c>
      <c r="I7" t="str">
        <f t="shared" si="3"/>
        <v>INSUFICIENTE</v>
      </c>
      <c r="K7" t="str">
        <f t="shared" si="4"/>
        <v xml:space="preserve">ALIMENTOS </v>
      </c>
    </row>
    <row r="8" spans="1:11" ht="29" x14ac:dyDescent="0.35">
      <c r="A8" s="1" t="s">
        <v>14</v>
      </c>
      <c r="B8" t="s">
        <v>15</v>
      </c>
      <c r="C8" s="6">
        <v>160</v>
      </c>
      <c r="D8" s="6">
        <v>21</v>
      </c>
      <c r="E8" s="6">
        <v>13</v>
      </c>
      <c r="F8">
        <f t="shared" si="0"/>
        <v>3360</v>
      </c>
      <c r="G8">
        <f t="shared" si="1"/>
        <v>2080</v>
      </c>
      <c r="H8">
        <f t="shared" si="2"/>
        <v>1280</v>
      </c>
      <c r="I8" t="str">
        <f t="shared" si="3"/>
        <v>EXCELENTE</v>
      </c>
      <c r="K8" t="str">
        <f t="shared" si="4"/>
        <v xml:space="preserve">LACTEOS </v>
      </c>
    </row>
    <row r="9" spans="1:11" x14ac:dyDescent="0.35">
      <c r="A9" s="1" t="s">
        <v>16</v>
      </c>
      <c r="B9" t="s">
        <v>7</v>
      </c>
      <c r="C9" s="6">
        <v>140</v>
      </c>
      <c r="D9" s="6">
        <v>30</v>
      </c>
      <c r="E9" s="6">
        <v>18</v>
      </c>
      <c r="F9">
        <f t="shared" si="0"/>
        <v>4200</v>
      </c>
      <c r="G9">
        <f t="shared" si="1"/>
        <v>2520</v>
      </c>
      <c r="H9">
        <f t="shared" si="2"/>
        <v>1680</v>
      </c>
      <c r="I9" t="str">
        <f t="shared" si="3"/>
        <v>EXCELENTE</v>
      </c>
      <c r="K9" t="str">
        <f t="shared" si="4"/>
        <v xml:space="preserve">BEBIDAS </v>
      </c>
    </row>
    <row r="10" spans="1:11" ht="29" x14ac:dyDescent="0.35">
      <c r="A10" s="1" t="s">
        <v>17</v>
      </c>
      <c r="B10" t="s">
        <v>9</v>
      </c>
      <c r="C10" s="6">
        <v>170</v>
      </c>
      <c r="D10" s="6">
        <v>25</v>
      </c>
      <c r="E10" s="6">
        <v>15</v>
      </c>
      <c r="F10">
        <f t="shared" si="0"/>
        <v>4250</v>
      </c>
      <c r="G10">
        <f t="shared" si="1"/>
        <v>2550</v>
      </c>
      <c r="H10">
        <f t="shared" si="2"/>
        <v>1700</v>
      </c>
      <c r="I10" t="str">
        <f t="shared" si="3"/>
        <v>EXCELENTE</v>
      </c>
      <c r="K10" t="str">
        <f t="shared" si="4"/>
        <v xml:space="preserve">ALIMENTOS </v>
      </c>
    </row>
    <row r="11" spans="1:11" x14ac:dyDescent="0.35">
      <c r="A11" s="1" t="s">
        <v>18</v>
      </c>
      <c r="B11" t="s">
        <v>19</v>
      </c>
      <c r="C11" s="6">
        <v>210</v>
      </c>
      <c r="D11" s="6">
        <v>5</v>
      </c>
      <c r="E11" s="6">
        <v>2</v>
      </c>
      <c r="F11">
        <f t="shared" si="0"/>
        <v>1050</v>
      </c>
      <c r="G11">
        <f t="shared" si="1"/>
        <v>420</v>
      </c>
      <c r="H11">
        <f t="shared" si="2"/>
        <v>630</v>
      </c>
      <c r="I11" t="str">
        <f t="shared" si="3"/>
        <v>INSUFICIENTE</v>
      </c>
      <c r="K11" t="str">
        <f t="shared" si="4"/>
        <v xml:space="preserve">PANADERIA </v>
      </c>
    </row>
    <row r="12" spans="1:11" x14ac:dyDescent="0.35">
      <c r="A12" s="1" t="s">
        <v>20</v>
      </c>
      <c r="B12" t="s">
        <v>15</v>
      </c>
      <c r="C12" s="6">
        <v>165</v>
      </c>
      <c r="D12" s="6">
        <v>8</v>
      </c>
      <c r="E12" s="6">
        <v>4</v>
      </c>
      <c r="F12">
        <f t="shared" si="0"/>
        <v>1320</v>
      </c>
      <c r="G12">
        <f t="shared" si="1"/>
        <v>660</v>
      </c>
      <c r="H12">
        <f t="shared" si="2"/>
        <v>660</v>
      </c>
      <c r="I12" t="str">
        <f t="shared" si="3"/>
        <v>INSUFICIENTE</v>
      </c>
      <c r="K12" t="str">
        <f t="shared" si="4"/>
        <v xml:space="preserve">LACTEOS </v>
      </c>
    </row>
    <row r="13" spans="1:11" ht="29" x14ac:dyDescent="0.35">
      <c r="A13" s="1" t="s">
        <v>21</v>
      </c>
      <c r="B13" t="s">
        <v>15</v>
      </c>
      <c r="C13" s="6">
        <v>180</v>
      </c>
      <c r="D13" s="6">
        <v>6</v>
      </c>
      <c r="E13" s="6">
        <v>3</v>
      </c>
      <c r="F13">
        <f t="shared" si="0"/>
        <v>1080</v>
      </c>
      <c r="G13">
        <f t="shared" si="1"/>
        <v>540</v>
      </c>
      <c r="H13">
        <f t="shared" si="2"/>
        <v>540</v>
      </c>
      <c r="I13" t="str">
        <f t="shared" si="3"/>
        <v>INSUFICIENTE</v>
      </c>
      <c r="K13" t="str">
        <f t="shared" si="4"/>
        <v xml:space="preserve">LACTEOS </v>
      </c>
    </row>
    <row r="14" spans="1:11" ht="29" x14ac:dyDescent="0.35">
      <c r="A14" s="1" t="s">
        <v>22</v>
      </c>
      <c r="B14" t="s">
        <v>23</v>
      </c>
      <c r="C14" s="6">
        <v>200</v>
      </c>
      <c r="D14" s="6">
        <v>29</v>
      </c>
      <c r="E14" s="6">
        <v>20</v>
      </c>
      <c r="F14">
        <f t="shared" si="0"/>
        <v>5800</v>
      </c>
      <c r="G14">
        <f t="shared" si="1"/>
        <v>4000</v>
      </c>
      <c r="H14">
        <f t="shared" si="2"/>
        <v>1800</v>
      </c>
      <c r="I14" t="str">
        <f t="shared" si="3"/>
        <v>EXCELENTE</v>
      </c>
      <c r="K14" t="str">
        <f t="shared" si="4"/>
        <v xml:space="preserve">CARNE </v>
      </c>
    </row>
    <row r="15" spans="1:11" ht="29" x14ac:dyDescent="0.35">
      <c r="A15" s="1" t="s">
        <v>24</v>
      </c>
      <c r="B15" t="s">
        <v>23</v>
      </c>
      <c r="C15" s="6">
        <v>190</v>
      </c>
      <c r="D15" s="6">
        <v>12</v>
      </c>
      <c r="E15" s="6">
        <v>7</v>
      </c>
      <c r="F15">
        <f t="shared" si="0"/>
        <v>2280</v>
      </c>
      <c r="G15">
        <f t="shared" si="1"/>
        <v>1330</v>
      </c>
      <c r="H15">
        <f t="shared" si="2"/>
        <v>950</v>
      </c>
      <c r="I15" t="str">
        <f t="shared" si="3"/>
        <v>INSUFICIENTE</v>
      </c>
      <c r="K15" t="str">
        <f t="shared" si="4"/>
        <v xml:space="preserve">CARNE </v>
      </c>
    </row>
    <row r="16" spans="1:11" x14ac:dyDescent="0.35">
      <c r="A16" s="1" t="s">
        <v>25</v>
      </c>
      <c r="B16" t="s">
        <v>26</v>
      </c>
      <c r="C16" s="6">
        <v>140</v>
      </c>
      <c r="D16" s="6">
        <v>15</v>
      </c>
      <c r="E16" s="6">
        <v>10</v>
      </c>
      <c r="F16">
        <f t="shared" si="0"/>
        <v>2100</v>
      </c>
      <c r="G16">
        <f t="shared" si="1"/>
        <v>1400</v>
      </c>
      <c r="H16">
        <f t="shared" si="2"/>
        <v>700</v>
      </c>
      <c r="I16" t="str">
        <f t="shared" si="3"/>
        <v>INSUFICIENTE</v>
      </c>
      <c r="K16" t="str">
        <f t="shared" si="4"/>
        <v xml:space="preserve">VEGETALES </v>
      </c>
    </row>
    <row r="17" spans="1:11" x14ac:dyDescent="0.35">
      <c r="A17" s="1" t="s">
        <v>27</v>
      </c>
      <c r="B17" t="s">
        <v>26</v>
      </c>
      <c r="C17" s="6">
        <v>230</v>
      </c>
      <c r="D17" s="6">
        <v>4</v>
      </c>
      <c r="E17" s="6">
        <v>2</v>
      </c>
      <c r="F17">
        <f t="shared" si="0"/>
        <v>920</v>
      </c>
      <c r="G17">
        <f t="shared" si="1"/>
        <v>460</v>
      </c>
      <c r="H17">
        <f t="shared" si="2"/>
        <v>460</v>
      </c>
      <c r="I17" t="str">
        <f t="shared" si="3"/>
        <v>INSUFICIENTE</v>
      </c>
      <c r="K17" t="str">
        <f t="shared" si="4"/>
        <v xml:space="preserve">VEGETALES </v>
      </c>
    </row>
    <row r="18" spans="1:11" ht="29" x14ac:dyDescent="0.35">
      <c r="A18" s="1" t="s">
        <v>28</v>
      </c>
      <c r="B18" t="s">
        <v>26</v>
      </c>
      <c r="C18" s="6">
        <v>175</v>
      </c>
      <c r="D18" s="6">
        <v>7</v>
      </c>
      <c r="E18" s="6">
        <v>3</v>
      </c>
      <c r="F18">
        <f t="shared" si="0"/>
        <v>1225</v>
      </c>
      <c r="G18">
        <f t="shared" si="1"/>
        <v>525</v>
      </c>
      <c r="H18">
        <f t="shared" si="2"/>
        <v>700</v>
      </c>
      <c r="I18" t="str">
        <f t="shared" si="3"/>
        <v>INSUFICIENTE</v>
      </c>
      <c r="K18" t="str">
        <f t="shared" si="4"/>
        <v xml:space="preserve">VEGETALES </v>
      </c>
    </row>
    <row r="19" spans="1:11" x14ac:dyDescent="0.35">
      <c r="A19" s="1" t="s">
        <v>29</v>
      </c>
      <c r="B19" t="s">
        <v>30</v>
      </c>
      <c r="C19" s="6">
        <v>160</v>
      </c>
      <c r="D19" s="6">
        <v>3</v>
      </c>
      <c r="E19" s="6">
        <v>1</v>
      </c>
      <c r="F19">
        <f t="shared" si="0"/>
        <v>480</v>
      </c>
      <c r="G19">
        <f t="shared" si="1"/>
        <v>160</v>
      </c>
      <c r="H19">
        <f t="shared" si="2"/>
        <v>320</v>
      </c>
      <c r="I19" t="str">
        <f t="shared" si="3"/>
        <v>INSUFICIENTE</v>
      </c>
      <c r="K19" t="str">
        <f t="shared" si="4"/>
        <v xml:space="preserve">FRUTAS </v>
      </c>
    </row>
    <row r="20" spans="1:11" ht="29" x14ac:dyDescent="0.35">
      <c r="A20" s="1" t="s">
        <v>31</v>
      </c>
      <c r="B20" t="s">
        <v>30</v>
      </c>
      <c r="C20" s="6">
        <v>190</v>
      </c>
      <c r="D20" s="6">
        <v>4</v>
      </c>
      <c r="E20" s="6">
        <v>2</v>
      </c>
      <c r="F20">
        <f t="shared" si="0"/>
        <v>760</v>
      </c>
      <c r="G20">
        <f t="shared" si="1"/>
        <v>380</v>
      </c>
      <c r="H20">
        <f t="shared" si="2"/>
        <v>380</v>
      </c>
      <c r="I20" t="str">
        <f t="shared" si="3"/>
        <v>INSUFICIENTE</v>
      </c>
      <c r="K20" t="str">
        <f t="shared" si="4"/>
        <v xml:space="preserve">FRUTAS </v>
      </c>
    </row>
    <row r="21" spans="1:11" x14ac:dyDescent="0.35">
      <c r="A21" s="1" t="s">
        <v>32</v>
      </c>
      <c r="B21" t="s">
        <v>30</v>
      </c>
      <c r="C21" s="6">
        <v>220</v>
      </c>
      <c r="D21" s="6">
        <v>4</v>
      </c>
      <c r="E21" s="6">
        <v>2</v>
      </c>
      <c r="F21">
        <f t="shared" si="0"/>
        <v>880</v>
      </c>
      <c r="G21">
        <f t="shared" si="1"/>
        <v>440</v>
      </c>
      <c r="H21">
        <f t="shared" si="2"/>
        <v>440</v>
      </c>
      <c r="I21" t="str">
        <f t="shared" si="3"/>
        <v>INSUFICIENTE</v>
      </c>
      <c r="K21" t="str">
        <f t="shared" si="4"/>
        <v xml:space="preserve">FRUTAS </v>
      </c>
    </row>
    <row r="22" spans="1:11" x14ac:dyDescent="0.35">
      <c r="D22" s="6">
        <f>AVERAGE(D2:D21)</f>
        <v>13</v>
      </c>
      <c r="E22" s="6">
        <f>AVERAGE(E2:E21)</f>
        <v>7.6</v>
      </c>
      <c r="F22">
        <f>SUM(F2:F21)</f>
        <v>43465</v>
      </c>
    </row>
    <row r="24" spans="1:11" x14ac:dyDescent="0.35">
      <c r="A24" s="4" t="s">
        <v>38</v>
      </c>
      <c r="B24" t="s">
        <v>39</v>
      </c>
      <c r="C24" s="6" t="s">
        <v>40</v>
      </c>
      <c r="D24" s="6" t="s">
        <v>41</v>
      </c>
      <c r="E24" s="6" t="s">
        <v>42</v>
      </c>
      <c r="F24" s="6" t="s">
        <v>43</v>
      </c>
      <c r="G24" s="6" t="s">
        <v>44</v>
      </c>
      <c r="H24" s="6" t="s">
        <v>45</v>
      </c>
      <c r="I24" s="6" t="s">
        <v>30</v>
      </c>
    </row>
    <row r="25" spans="1:11" x14ac:dyDescent="0.35">
      <c r="A25" s="4" t="s">
        <v>37</v>
      </c>
      <c r="B25" s="6">
        <f>COUNTIF(B2:B21,B2)</f>
        <v>3</v>
      </c>
      <c r="C25" s="6">
        <f>COUNTIF(B2:B21,B4)</f>
        <v>4</v>
      </c>
      <c r="D25" s="6">
        <f>COUNTIF(B2:B21,B8)</f>
        <v>3</v>
      </c>
      <c r="E25" s="6">
        <f>COUNTIF(B2:B21,B5)</f>
        <v>1</v>
      </c>
      <c r="F25">
        <f>COUNTIF(B2:B21,B11)</f>
        <v>1</v>
      </c>
      <c r="G25">
        <f>COUNTIF(B2:B21,B14)</f>
        <v>2</v>
      </c>
      <c r="H25">
        <f>COUNTIF(B2:B21,B16)</f>
        <v>3</v>
      </c>
      <c r="I25">
        <f>COUNTIF(B2:B21,B20)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SALINAS</dc:creator>
  <cp:lastModifiedBy>JAVIER SALINAS</cp:lastModifiedBy>
  <dcterms:created xsi:type="dcterms:W3CDTF">2025-05-20T20:13:10Z</dcterms:created>
  <dcterms:modified xsi:type="dcterms:W3CDTF">2025-05-21T03:01:52Z</dcterms:modified>
</cp:coreProperties>
</file>